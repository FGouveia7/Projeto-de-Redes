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ProjetoRedes\Projeto-de-Redes\"/>
    </mc:Choice>
  </mc:AlternateContent>
  <xr:revisionPtr revIDLastSave="0" documentId="13_ncr:1_{21BA7E75-E74B-4B6A-A8DE-B80C470ED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SE 1 RE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T19" i="1"/>
  <c r="S19" i="1" s="1"/>
  <c r="T18" i="1"/>
  <c r="S18" i="1"/>
  <c r="T17" i="1"/>
  <c r="S17" i="1"/>
  <c r="T16" i="1"/>
  <c r="S16" i="1" s="1"/>
  <c r="T15" i="1"/>
  <c r="S15" i="1"/>
  <c r="T14" i="1"/>
  <c r="T8" i="1"/>
  <c r="S8" i="1" s="1"/>
  <c r="S14" i="1"/>
  <c r="Q19" i="1"/>
  <c r="Q18" i="1"/>
  <c r="Q17" i="1"/>
  <c r="Q16" i="1"/>
  <c r="Q15" i="1"/>
  <c r="Q14" i="1"/>
  <c r="F19" i="1"/>
  <c r="F18" i="1"/>
  <c r="F17" i="1"/>
  <c r="F16" i="1"/>
  <c r="F15" i="1"/>
  <c r="F14" i="1"/>
  <c r="T9" i="1"/>
  <c r="S9" i="1"/>
  <c r="Q9" i="1"/>
  <c r="T7" i="1"/>
  <c r="S7" i="1"/>
  <c r="Q7" i="1"/>
  <c r="T6" i="1"/>
  <c r="S6" i="1"/>
  <c r="Q6" i="1"/>
  <c r="T5" i="1"/>
  <c r="S5" i="1"/>
  <c r="Q5" i="1"/>
  <c r="T4" i="1"/>
  <c r="S4" i="1"/>
  <c r="Q4" i="1"/>
  <c r="Q3" i="1"/>
</calcChain>
</file>

<file path=xl/sharedStrings.xml><?xml version="1.0" encoding="utf-8"?>
<sst xmlns="http://schemas.openxmlformats.org/spreadsheetml/2006/main" count="363" uniqueCount="166">
  <si>
    <t>AVEIRO</t>
  </si>
  <si>
    <t>SUB-REDE</t>
  </si>
  <si>
    <t>NªHOSTS</t>
  </si>
  <si>
    <t>POTENCIA DE 2</t>
  </si>
  <si>
    <t>HOST(X-2)</t>
  </si>
  <si>
    <t>PREFIXO</t>
  </si>
  <si>
    <t>END SUB-REDE</t>
  </si>
  <si>
    <t>MASCARA</t>
  </si>
  <si>
    <t>1ªHOST</t>
  </si>
  <si>
    <t>ULT-HOST</t>
  </si>
  <si>
    <t>BROADCAST</t>
  </si>
  <si>
    <t>valor do broadcast do ultimo +1</t>
  </si>
  <si>
    <t>256=2^8 menos a Potencia de 2</t>
  </si>
  <si>
    <t>ULThost é o broadcast -1</t>
  </si>
  <si>
    <t>Valor do broadcast apanho de fazer o 1ªhost+ o valor que esta no host(x-2) na primeira t abela</t>
  </si>
  <si>
    <t>QUIOSQUE</t>
  </si>
  <si>
    <t>2^6=64</t>
  </si>
  <si>
    <t>/26</t>
  </si>
  <si>
    <t>10.99.9.0</t>
  </si>
  <si>
    <t>255.255.255.192</t>
  </si>
  <si>
    <t>10.99.9.1</t>
  </si>
  <si>
    <t>10.99.9.62</t>
  </si>
  <si>
    <t>10.99.9.63</t>
  </si>
  <si>
    <t>GUEST</t>
  </si>
  <si>
    <t>2^5=32</t>
  </si>
  <si>
    <t>/27</t>
  </si>
  <si>
    <t>10.99.9.64</t>
  </si>
  <si>
    <t>255.255.255.224</t>
  </si>
  <si>
    <t>10.99.9.65</t>
  </si>
  <si>
    <t>10.99.9.94</t>
  </si>
  <si>
    <t>10.99.9.95</t>
  </si>
  <si>
    <t>IOT</t>
  </si>
  <si>
    <t>10.99.9.96</t>
  </si>
  <si>
    <t>10.99.9.97</t>
  </si>
  <si>
    <t>10.99.9.127</t>
  </si>
  <si>
    <t>SERVERS</t>
  </si>
  <si>
    <t>10.99.9.128</t>
  </si>
  <si>
    <t>10.99.9.129</t>
  </si>
  <si>
    <t>10.99.9.158</t>
  </si>
  <si>
    <t>10.99.9.159</t>
  </si>
  <si>
    <t>PRINTERS</t>
  </si>
  <si>
    <t>2^4=16</t>
  </si>
  <si>
    <t>/28</t>
  </si>
  <si>
    <t>10.99.9.160</t>
  </si>
  <si>
    <t>255.255.255.240</t>
  </si>
  <si>
    <t>10.99.9.161</t>
  </si>
  <si>
    <t>10.99.9.174</t>
  </si>
  <si>
    <t>10.99.9.175</t>
  </si>
  <si>
    <t>MANAGMENT</t>
  </si>
  <si>
    <t>10.99.9.176</t>
  </si>
  <si>
    <t>10.99.9.177</t>
  </si>
  <si>
    <t>10.99.9.190</t>
  </si>
  <si>
    <t>10.99.9.191</t>
  </si>
  <si>
    <t>COVILHA</t>
  </si>
  <si>
    <t>10.30.0.1</t>
  </si>
  <si>
    <t>10.30.0.62</t>
  </si>
  <si>
    <t>10.30.0.63</t>
  </si>
  <si>
    <t>10.30.0.126</t>
  </si>
  <si>
    <t>10.30.0.127</t>
  </si>
  <si>
    <t>10.30.0.190</t>
  </si>
  <si>
    <t>SOC</t>
  </si>
  <si>
    <t>10.30.0.191</t>
  </si>
  <si>
    <t>10.30.0.222</t>
  </si>
  <si>
    <t>SECURITY</t>
  </si>
  <si>
    <t>10.30.0.223</t>
  </si>
  <si>
    <t>10.30.0.238</t>
  </si>
  <si>
    <t>10.30.0.239</t>
  </si>
  <si>
    <t>COVILLHA</t>
  </si>
  <si>
    <t>DISPOSITIVO</t>
  </si>
  <si>
    <t>INTERFACE</t>
  </si>
  <si>
    <t>ENDEREÇO IP</t>
  </si>
  <si>
    <t>MASCARA DE SUBREDE</t>
  </si>
  <si>
    <t>GATEWAY PADRAO</t>
  </si>
  <si>
    <t>VOD</t>
  </si>
  <si>
    <t>SERIAL 0/2/0</t>
  </si>
  <si>
    <t>62.128.143.102</t>
  </si>
  <si>
    <t>255.255.255.252</t>
  </si>
  <si>
    <t>N/A</t>
  </si>
  <si>
    <t>MEO</t>
  </si>
  <si>
    <t>91.209.231.142</t>
  </si>
  <si>
    <t>SERIAL 0/2/2</t>
  </si>
  <si>
    <t>CVL</t>
  </si>
  <si>
    <t>SERIAL 0/3/0</t>
  </si>
  <si>
    <t>91.209.231.141</t>
  </si>
  <si>
    <t>SERIAL 0/2/1</t>
  </si>
  <si>
    <t>GIG 0/0</t>
  </si>
  <si>
    <t xml:space="preserve">Sem IP </t>
  </si>
  <si>
    <t>--</t>
  </si>
  <si>
    <t>AVR</t>
  </si>
  <si>
    <t>Sem IP proprio</t>
  </si>
  <si>
    <t>GIG 0/0.16</t>
  </si>
  <si>
    <t>10.30.9.209</t>
  </si>
  <si>
    <t>GIG0/0.30</t>
  </si>
  <si>
    <t>10.30.9.1</t>
  </si>
  <si>
    <t>GIG 0/0.100</t>
  </si>
  <si>
    <t>10.30.9.161</t>
  </si>
  <si>
    <t>GIG 0/0.70</t>
  </si>
  <si>
    <t>GIG 0/0.160</t>
  </si>
  <si>
    <t>10.30.9.129</t>
  </si>
  <si>
    <t>GIG 0/0.500</t>
  </si>
  <si>
    <t>10.30.9.65</t>
  </si>
  <si>
    <t>10.99.9.7</t>
  </si>
  <si>
    <t>GIG 0/0.502</t>
  </si>
  <si>
    <t>10.30.9.193</t>
  </si>
  <si>
    <t>GIG 0/0.503</t>
  </si>
  <si>
    <t>CVL-DHCP</t>
  </si>
  <si>
    <t>PLACA DE REDE</t>
  </si>
  <si>
    <t>10.30.9.130</t>
  </si>
  <si>
    <t>62.128.143.101</t>
  </si>
  <si>
    <t>CVL-NTP</t>
  </si>
  <si>
    <t>10.30.9.131</t>
  </si>
  <si>
    <t>AVR-NTP</t>
  </si>
  <si>
    <t>10.99.9.130</t>
  </si>
  <si>
    <t>CVL-WEB1</t>
  </si>
  <si>
    <t>10.30.9.132</t>
  </si>
  <si>
    <t>AVR-DHCP</t>
  </si>
  <si>
    <t>10.99.9.131</t>
  </si>
  <si>
    <t>CVL-WEB2</t>
  </si>
  <si>
    <t>10.30.9.133</t>
  </si>
  <si>
    <t>AVR-DNS</t>
  </si>
  <si>
    <t>10.99.9.132</t>
  </si>
  <si>
    <t>CVL-WEB3</t>
  </si>
  <si>
    <t>10.30.9.134</t>
  </si>
  <si>
    <t>AVR-WEB</t>
  </si>
  <si>
    <t>10.99.9.133</t>
  </si>
  <si>
    <t>CVL-DTB1</t>
  </si>
  <si>
    <t>10.30.9.135</t>
  </si>
  <si>
    <t>AVR-AP1</t>
  </si>
  <si>
    <t>10.99.9.162</t>
  </si>
  <si>
    <t>CVL-DTB2</t>
  </si>
  <si>
    <t>10.30.9.136</t>
  </si>
  <si>
    <t>AVR-P1</t>
  </si>
  <si>
    <t>10.99.9.163</t>
  </si>
  <si>
    <t>CVL-DTB3</t>
  </si>
  <si>
    <t>10.30.9.137</t>
  </si>
  <si>
    <t>AVR-PC1</t>
  </si>
  <si>
    <t>10.99.9.2</t>
  </si>
  <si>
    <t>10.30.9.210</t>
  </si>
  <si>
    <t>AVR-PC2</t>
  </si>
  <si>
    <t>10.99.9.3</t>
  </si>
  <si>
    <t>10.30.9.2</t>
  </si>
  <si>
    <t>10.30.9.3</t>
  </si>
  <si>
    <t>ROUTER AVR</t>
  </si>
  <si>
    <t>ROUTER VOD</t>
  </si>
  <si>
    <r>
      <rPr>
        <sz val="11"/>
        <color rgb="FF000000"/>
        <rFont val="Calibri"/>
        <scheme val="minor"/>
      </rPr>
      <t>62.128.143.101</t>
    </r>
    <r>
      <rPr>
        <b/>
        <sz val="11"/>
        <color rgb="FF000000"/>
        <rFont val="Calibri"/>
        <scheme val="minor"/>
      </rPr>
      <t>/30</t>
    </r>
  </si>
  <si>
    <r>
      <rPr>
        <sz val="11"/>
        <color rgb="FF000000"/>
        <rFont val="Calibri"/>
        <scheme val="minor"/>
      </rPr>
      <t>62.128.143.102</t>
    </r>
    <r>
      <rPr>
        <b/>
        <sz val="11"/>
        <color rgb="FF000000"/>
        <rFont val="Calibri"/>
        <scheme val="minor"/>
      </rPr>
      <t>/30</t>
    </r>
  </si>
  <si>
    <t>ROUTER CVL</t>
  </si>
  <si>
    <t>ROUTER MEO</t>
  </si>
  <si>
    <t>NETWORK ID:</t>
  </si>
  <si>
    <t>62.128.153.100/30</t>
  </si>
  <si>
    <r>
      <rPr>
        <sz val="11"/>
        <color rgb="FF000000"/>
        <rFont val="Calibri"/>
        <scheme val="minor"/>
      </rPr>
      <t>91.209.231.141</t>
    </r>
    <r>
      <rPr>
        <b/>
        <sz val="11"/>
        <color rgb="FF000000"/>
        <rFont val="Calibri"/>
        <scheme val="minor"/>
      </rPr>
      <t>/30</t>
    </r>
  </si>
  <si>
    <r>
      <rPr>
        <sz val="11"/>
        <color rgb="FF000000"/>
        <rFont val="Calibri"/>
        <scheme val="minor"/>
      </rPr>
      <t>91.209.231.142</t>
    </r>
    <r>
      <rPr>
        <b/>
        <sz val="11"/>
        <color rgb="FF000000"/>
        <rFont val="Calibri"/>
        <scheme val="minor"/>
      </rPr>
      <t>/30</t>
    </r>
  </si>
  <si>
    <t>91.209.231.140/30</t>
  </si>
  <si>
    <t>10.30.0.65</t>
  </si>
  <si>
    <t>10.30.0.129</t>
  </si>
  <si>
    <t>10.30.0.193</t>
  </si>
  <si>
    <t>10.30.0.225</t>
  </si>
  <si>
    <t>10.30.0.241</t>
  </si>
  <si>
    <t>10.30.0..254</t>
  </si>
  <si>
    <t>10.30.0.255</t>
  </si>
  <si>
    <t>10.30.9.0</t>
  </si>
  <si>
    <t>10.30.9.64</t>
  </si>
  <si>
    <t>10.30.9.128</t>
  </si>
  <si>
    <t>10.30.9.192</t>
  </si>
  <si>
    <t>10.30.9.224</t>
  </si>
  <si>
    <t>10.30.9.240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</si>
</sst>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wrapText="1"/>
    </xf>
    <xf numFmtId="0" fontId="2" fillId="5" borderId="0" xfId="0" applyFont="1" applyFill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7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8" borderId="0" xfId="0" applyFill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tabSelected="1" topLeftCell="A16" zoomScale="60" zoomScaleNormal="60" zoomScaleSheetLayoutView="80" workbookViewId="0"/>
  </sheetViews>
  <sheetFormatPr defaultRowHeight="14.4" x14ac:dyDescent="0.3"/>
  <cols>
    <col min="1" max="1" width="18.33203125" customWidth="1"/>
    <col min="2" max="2" width="18.5546875" customWidth="1"/>
    <col min="3" max="3" width="19.109375" customWidth="1"/>
    <col min="4" max="4" width="22" customWidth="1"/>
    <col min="5" max="5" width="18.5546875" customWidth="1"/>
    <col min="6" max="6" width="8" customWidth="1"/>
    <col min="7" max="7" width="18.6640625" customWidth="1"/>
    <col min="8" max="8" width="18.88671875" customWidth="1"/>
    <col min="9" max="9" width="18.33203125" customWidth="1"/>
    <col min="10" max="10" width="19.6640625" customWidth="1"/>
    <col min="11" max="11" width="26.33203125" customWidth="1"/>
    <col min="12" max="12" width="21.88671875" customWidth="1"/>
    <col min="13" max="13" width="16.5546875" customWidth="1"/>
    <col min="15" max="15" width="13.6640625" customWidth="1"/>
    <col min="16" max="16" width="16.6640625" customWidth="1"/>
    <col min="17" max="17" width="18.33203125" customWidth="1"/>
    <col min="19" max="19" width="13.6640625" customWidth="1"/>
    <col min="20" max="20" width="23.44140625" customWidth="1"/>
  </cols>
  <sheetData>
    <row r="1" spans="1:21" ht="15.75" customHeight="1" x14ac:dyDescent="0.3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2.25" customHeight="1" x14ac:dyDescent="0.3">
      <c r="A2" s="5" t="s">
        <v>1</v>
      </c>
      <c r="B2" s="5" t="s">
        <v>2</v>
      </c>
      <c r="C2" s="5">
        <v>32</v>
      </c>
      <c r="D2" s="5" t="s">
        <v>3</v>
      </c>
      <c r="E2" s="5" t="s">
        <v>4</v>
      </c>
      <c r="F2" s="5" t="s">
        <v>5</v>
      </c>
      <c r="G2" s="1"/>
      <c r="H2" s="5" t="s">
        <v>1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2"/>
      <c r="O2" s="6"/>
      <c r="P2" s="7" t="s">
        <v>11</v>
      </c>
      <c r="Q2" s="7" t="s">
        <v>12</v>
      </c>
      <c r="R2" s="6"/>
      <c r="S2" s="7" t="s">
        <v>13</v>
      </c>
      <c r="T2" s="18" t="s">
        <v>14</v>
      </c>
      <c r="U2" s="2"/>
    </row>
    <row r="3" spans="1:21" ht="33.75" customHeight="1" x14ac:dyDescent="0.3">
      <c r="A3" s="9" t="s">
        <v>15</v>
      </c>
      <c r="B3" s="10">
        <v>38</v>
      </c>
      <c r="C3" s="10">
        <v>40</v>
      </c>
      <c r="D3" s="10" t="s">
        <v>16</v>
      </c>
      <c r="E3" s="10">
        <v>62</v>
      </c>
      <c r="F3" s="10" t="s">
        <v>17</v>
      </c>
      <c r="G3" s="1"/>
      <c r="H3" s="9" t="s">
        <v>15</v>
      </c>
      <c r="I3" s="10" t="s">
        <v>18</v>
      </c>
      <c r="J3" s="10" t="s">
        <v>19</v>
      </c>
      <c r="K3" s="10" t="s">
        <v>20</v>
      </c>
      <c r="L3" s="10" t="s">
        <v>21</v>
      </c>
      <c r="M3" s="10" t="s">
        <v>22</v>
      </c>
      <c r="N3" s="2"/>
      <c r="O3" s="6" t="s">
        <v>15</v>
      </c>
      <c r="P3" s="6">
        <v>0</v>
      </c>
      <c r="Q3" s="6">
        <f>256-64</f>
        <v>192</v>
      </c>
      <c r="R3" s="6"/>
      <c r="S3" s="6"/>
      <c r="T3" s="6"/>
      <c r="U3" s="2"/>
    </row>
    <row r="4" spans="1:21" ht="32.25" customHeight="1" x14ac:dyDescent="0.3">
      <c r="A4" s="9" t="s">
        <v>23</v>
      </c>
      <c r="B4" s="10">
        <v>28</v>
      </c>
      <c r="C4" s="10">
        <v>30</v>
      </c>
      <c r="D4" s="10" t="s">
        <v>24</v>
      </c>
      <c r="E4" s="10">
        <v>30</v>
      </c>
      <c r="F4" s="10" t="s">
        <v>25</v>
      </c>
      <c r="G4" s="1"/>
      <c r="H4" s="9" t="s">
        <v>23</v>
      </c>
      <c r="I4" s="10" t="s">
        <v>26</v>
      </c>
      <c r="J4" s="10" t="s">
        <v>27</v>
      </c>
      <c r="K4" s="10" t="s">
        <v>28</v>
      </c>
      <c r="L4" s="10" t="s">
        <v>29</v>
      </c>
      <c r="M4" s="10" t="s">
        <v>30</v>
      </c>
      <c r="N4" s="2"/>
      <c r="O4" s="6" t="s">
        <v>23</v>
      </c>
      <c r="P4" s="6">
        <v>64</v>
      </c>
      <c r="Q4" s="6">
        <f>256-32</f>
        <v>224</v>
      </c>
      <c r="R4" s="6"/>
      <c r="S4" s="6">
        <f>T4-1</f>
        <v>94</v>
      </c>
      <c r="T4" s="6">
        <f>65+30</f>
        <v>95</v>
      </c>
      <c r="U4" s="2"/>
    </row>
    <row r="5" spans="1:21" ht="33" customHeight="1" x14ac:dyDescent="0.3">
      <c r="A5" s="9" t="s">
        <v>31</v>
      </c>
      <c r="B5" s="10">
        <v>24</v>
      </c>
      <c r="C5" s="10">
        <v>26</v>
      </c>
      <c r="D5" s="10" t="s">
        <v>24</v>
      </c>
      <c r="E5" s="10">
        <v>30</v>
      </c>
      <c r="F5" s="12" t="s">
        <v>25</v>
      </c>
      <c r="G5" s="1"/>
      <c r="H5" s="9" t="s">
        <v>31</v>
      </c>
      <c r="I5" s="10" t="s">
        <v>32</v>
      </c>
      <c r="J5" s="10" t="s">
        <v>27</v>
      </c>
      <c r="K5" s="10" t="s">
        <v>33</v>
      </c>
      <c r="L5" s="10" t="str">
        <f>+H15</f>
        <v>MANAGMENT</v>
      </c>
      <c r="M5" s="12" t="s">
        <v>34</v>
      </c>
      <c r="N5" s="2"/>
      <c r="O5" s="6" t="s">
        <v>31</v>
      </c>
      <c r="P5" s="6">
        <v>96</v>
      </c>
      <c r="Q5" s="6">
        <f>256-32</f>
        <v>224</v>
      </c>
      <c r="R5" s="6"/>
      <c r="S5" s="6">
        <f>97+30-1</f>
        <v>126</v>
      </c>
      <c r="T5" s="6">
        <f>97+30</f>
        <v>127</v>
      </c>
      <c r="U5" s="2"/>
    </row>
    <row r="6" spans="1:21" ht="31.5" customHeight="1" x14ac:dyDescent="0.3">
      <c r="A6" s="9" t="s">
        <v>35</v>
      </c>
      <c r="B6" s="10">
        <v>15</v>
      </c>
      <c r="C6" s="10">
        <v>17</v>
      </c>
      <c r="D6" s="10" t="s">
        <v>24</v>
      </c>
      <c r="E6" s="10">
        <v>30</v>
      </c>
      <c r="F6" s="12" t="s">
        <v>25</v>
      </c>
      <c r="G6" s="1"/>
      <c r="H6" s="9" t="s">
        <v>35</v>
      </c>
      <c r="I6" s="10" t="s">
        <v>36</v>
      </c>
      <c r="J6" s="10" t="s">
        <v>27</v>
      </c>
      <c r="K6" s="10" t="s">
        <v>37</v>
      </c>
      <c r="L6" s="10" t="s">
        <v>38</v>
      </c>
      <c r="M6" s="12" t="s">
        <v>39</v>
      </c>
      <c r="N6" s="2"/>
      <c r="O6" s="6" t="s">
        <v>35</v>
      </c>
      <c r="P6" s="6">
        <v>128</v>
      </c>
      <c r="Q6" s="6">
        <f>256-32</f>
        <v>224</v>
      </c>
      <c r="R6" s="6"/>
      <c r="S6" s="6">
        <f>129+30-1</f>
        <v>158</v>
      </c>
      <c r="T6" s="6">
        <f>129+30</f>
        <v>159</v>
      </c>
      <c r="U6" s="2"/>
    </row>
    <row r="7" spans="1:21" ht="29.25" customHeight="1" x14ac:dyDescent="0.3">
      <c r="A7" s="9" t="s">
        <v>40</v>
      </c>
      <c r="B7" s="10">
        <v>7</v>
      </c>
      <c r="C7" s="10">
        <v>9</v>
      </c>
      <c r="D7" s="10" t="s">
        <v>41</v>
      </c>
      <c r="E7" s="10">
        <v>14</v>
      </c>
      <c r="F7" s="10" t="s">
        <v>42</v>
      </c>
      <c r="G7" s="1"/>
      <c r="H7" s="9" t="s">
        <v>40</v>
      </c>
      <c r="I7" s="10" t="s">
        <v>43</v>
      </c>
      <c r="J7" s="10" t="s">
        <v>44</v>
      </c>
      <c r="K7" s="10" t="s">
        <v>45</v>
      </c>
      <c r="L7" s="10" t="s">
        <v>46</v>
      </c>
      <c r="M7" s="10" t="s">
        <v>47</v>
      </c>
      <c r="N7" s="2"/>
      <c r="O7" s="6" t="s">
        <v>40</v>
      </c>
      <c r="P7" s="6">
        <v>160</v>
      </c>
      <c r="Q7" s="6">
        <f>256-14</f>
        <v>242</v>
      </c>
      <c r="R7" s="6"/>
      <c r="S7" s="6">
        <f>161+16-1</f>
        <v>176</v>
      </c>
      <c r="T7" s="6">
        <f>161+14</f>
        <v>175</v>
      </c>
      <c r="U7" s="2"/>
    </row>
    <row r="8" spans="1:21" ht="28.5" customHeight="1" x14ac:dyDescent="0.3">
      <c r="A8" s="9" t="s">
        <v>48</v>
      </c>
      <c r="B8" s="10">
        <v>7</v>
      </c>
      <c r="C8" s="10">
        <v>9</v>
      </c>
      <c r="D8" s="10" t="s">
        <v>41</v>
      </c>
      <c r="E8" s="10">
        <v>14</v>
      </c>
      <c r="F8" s="10" t="s">
        <v>42</v>
      </c>
      <c r="G8" s="1"/>
      <c r="H8" s="9" t="s">
        <v>48</v>
      </c>
      <c r="I8" s="10" t="s">
        <v>49</v>
      </c>
      <c r="J8" s="10" t="s">
        <v>44</v>
      </c>
      <c r="K8" s="10" t="s">
        <v>50</v>
      </c>
      <c r="L8" s="10" t="s">
        <v>51</v>
      </c>
      <c r="M8" s="10" t="s">
        <v>52</v>
      </c>
      <c r="N8" s="2"/>
      <c r="O8" s="6" t="s">
        <v>48</v>
      </c>
      <c r="P8" s="6">
        <v>176</v>
      </c>
      <c r="Q8" s="6">
        <v>242</v>
      </c>
      <c r="R8" s="6"/>
      <c r="S8" s="6">
        <f>T8-1</f>
        <v>190</v>
      </c>
      <c r="T8" s="6">
        <f>177+14</f>
        <v>191</v>
      </c>
      <c r="U8" s="2"/>
    </row>
    <row r="9" spans="1:21" ht="0.75" customHeight="1" x14ac:dyDescent="0.3">
      <c r="G9" s="1"/>
      <c r="O9" t="s">
        <v>48</v>
      </c>
      <c r="Q9">
        <f>256-14</f>
        <v>242</v>
      </c>
      <c r="S9">
        <f>179+16-1</f>
        <v>194</v>
      </c>
      <c r="T9">
        <f>179+14</f>
        <v>193</v>
      </c>
    </row>
    <row r="10" spans="1:2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2" spans="1:21" ht="16.5" customHeight="1" x14ac:dyDescent="0.3">
      <c r="A12" s="1"/>
      <c r="B12" s="1"/>
      <c r="C12" s="1"/>
      <c r="D12" s="1"/>
      <c r="E12" s="1"/>
      <c r="F12" s="1"/>
      <c r="G12" s="2" t="s">
        <v>53</v>
      </c>
      <c r="H12" s="1"/>
      <c r="I12" s="3"/>
      <c r="J12" s="3"/>
      <c r="K12" s="1"/>
      <c r="L12" s="3"/>
      <c r="M12" s="4"/>
      <c r="N12" s="1"/>
      <c r="O12" s="1"/>
      <c r="P12" s="1"/>
      <c r="Q12" s="1"/>
      <c r="R12" s="1"/>
      <c r="S12" s="1"/>
      <c r="T12" s="1"/>
      <c r="U12" s="1"/>
    </row>
    <row r="13" spans="1:21" ht="36.75" customHeight="1" x14ac:dyDescent="0.3">
      <c r="A13" s="5" t="s">
        <v>1</v>
      </c>
      <c r="B13" s="5" t="s">
        <v>2</v>
      </c>
      <c r="C13" s="5">
        <v>32</v>
      </c>
      <c r="D13" s="5" t="s">
        <v>3</v>
      </c>
      <c r="E13" s="5" t="s">
        <v>4</v>
      </c>
      <c r="F13" s="5" t="s">
        <v>5</v>
      </c>
      <c r="G13" s="2"/>
      <c r="H13" s="5" t="s">
        <v>1</v>
      </c>
      <c r="I13" s="5" t="s">
        <v>6</v>
      </c>
      <c r="J13" s="5" t="s">
        <v>7</v>
      </c>
      <c r="K13" s="5" t="s">
        <v>8</v>
      </c>
      <c r="L13" s="5" t="s">
        <v>9</v>
      </c>
      <c r="M13" s="5" t="s">
        <v>10</v>
      </c>
      <c r="N13" s="2"/>
      <c r="O13" s="6"/>
      <c r="P13" s="7" t="s">
        <v>11</v>
      </c>
      <c r="Q13" s="7" t="s">
        <v>12</v>
      </c>
      <c r="R13" s="6"/>
      <c r="S13" s="7" t="s">
        <v>13</v>
      </c>
      <c r="T13" s="8" t="s">
        <v>14</v>
      </c>
      <c r="U13" s="2"/>
    </row>
    <row r="14" spans="1:21" x14ac:dyDescent="0.3">
      <c r="A14" s="9" t="s">
        <v>23</v>
      </c>
      <c r="B14" s="10">
        <v>33</v>
      </c>
      <c r="C14" s="10">
        <v>35</v>
      </c>
      <c r="D14" s="10" t="s">
        <v>16</v>
      </c>
      <c r="E14" s="10">
        <v>62</v>
      </c>
      <c r="F14" s="10">
        <f>32-6</f>
        <v>26</v>
      </c>
      <c r="G14" s="2"/>
      <c r="H14" s="9" t="s">
        <v>23</v>
      </c>
      <c r="I14" s="10" t="s">
        <v>160</v>
      </c>
      <c r="J14" s="10" t="s">
        <v>19</v>
      </c>
      <c r="K14" s="10" t="s">
        <v>54</v>
      </c>
      <c r="L14" s="10" t="s">
        <v>55</v>
      </c>
      <c r="M14" s="10" t="s">
        <v>56</v>
      </c>
      <c r="N14" s="2"/>
      <c r="O14" s="11" t="s">
        <v>23</v>
      </c>
      <c r="P14" s="6">
        <v>0</v>
      </c>
      <c r="Q14" s="6">
        <f>256-64</f>
        <v>192</v>
      </c>
      <c r="R14" s="6"/>
      <c r="S14" s="6">
        <f t="shared" ref="S14:S19" si="0">T14-1</f>
        <v>62</v>
      </c>
      <c r="T14" s="6">
        <f>0+63</f>
        <v>63</v>
      </c>
      <c r="U14" s="2"/>
    </row>
    <row r="15" spans="1:21" x14ac:dyDescent="0.3">
      <c r="A15" s="9" t="s">
        <v>48</v>
      </c>
      <c r="B15" s="10">
        <v>33</v>
      </c>
      <c r="C15" s="10">
        <v>35</v>
      </c>
      <c r="D15" s="10" t="s">
        <v>16</v>
      </c>
      <c r="E15" s="10">
        <v>62</v>
      </c>
      <c r="F15" s="10">
        <f>32-6</f>
        <v>26</v>
      </c>
      <c r="G15" s="2"/>
      <c r="H15" s="9" t="s">
        <v>48</v>
      </c>
      <c r="I15" s="10" t="s">
        <v>161</v>
      </c>
      <c r="J15" s="10" t="s">
        <v>19</v>
      </c>
      <c r="K15" s="10" t="s">
        <v>153</v>
      </c>
      <c r="L15" s="10" t="s">
        <v>57</v>
      </c>
      <c r="M15" s="10" t="s">
        <v>58</v>
      </c>
      <c r="N15" s="2"/>
      <c r="O15" s="11" t="s">
        <v>48</v>
      </c>
      <c r="P15" s="6">
        <v>64</v>
      </c>
      <c r="Q15" s="6">
        <f>256-64</f>
        <v>192</v>
      </c>
      <c r="R15" s="6"/>
      <c r="S15" s="6">
        <f t="shared" si="0"/>
        <v>126</v>
      </c>
      <c r="T15" s="6">
        <f>64+63</f>
        <v>127</v>
      </c>
      <c r="U15" s="2"/>
    </row>
    <row r="16" spans="1:21" x14ac:dyDescent="0.3">
      <c r="A16" s="9" t="s">
        <v>35</v>
      </c>
      <c r="B16" s="10">
        <v>31</v>
      </c>
      <c r="C16" s="10">
        <v>33</v>
      </c>
      <c r="D16" s="10" t="s">
        <v>16</v>
      </c>
      <c r="E16" s="10">
        <v>62</v>
      </c>
      <c r="F16" s="12">
        <f>32-6</f>
        <v>26</v>
      </c>
      <c r="G16" s="2"/>
      <c r="H16" s="9" t="s">
        <v>35</v>
      </c>
      <c r="I16" s="10" t="s">
        <v>162</v>
      </c>
      <c r="J16" s="10" t="s">
        <v>19</v>
      </c>
      <c r="K16" s="10" t="s">
        <v>154</v>
      </c>
      <c r="L16" s="10" t="s">
        <v>59</v>
      </c>
      <c r="M16" s="10" t="s">
        <v>61</v>
      </c>
      <c r="N16" s="2"/>
      <c r="O16" s="11" t="s">
        <v>35</v>
      </c>
      <c r="P16" s="6">
        <v>128</v>
      </c>
      <c r="Q16" s="6">
        <f>256-64</f>
        <v>192</v>
      </c>
      <c r="R16" s="6"/>
      <c r="S16" s="6">
        <f t="shared" si="0"/>
        <v>190</v>
      </c>
      <c r="T16" s="6">
        <f>129+62</f>
        <v>191</v>
      </c>
      <c r="U16" s="2"/>
    </row>
    <row r="17" spans="1:21" x14ac:dyDescent="0.3">
      <c r="A17" s="9" t="s">
        <v>60</v>
      </c>
      <c r="B17" s="10">
        <v>15</v>
      </c>
      <c r="C17" s="10">
        <v>17</v>
      </c>
      <c r="D17" s="10" t="s">
        <v>24</v>
      </c>
      <c r="E17" s="10">
        <v>30</v>
      </c>
      <c r="F17" s="12">
        <f>32-5</f>
        <v>27</v>
      </c>
      <c r="G17" s="2"/>
      <c r="H17" s="9" t="s">
        <v>60</v>
      </c>
      <c r="I17" s="10" t="s">
        <v>163</v>
      </c>
      <c r="J17" s="10" t="s">
        <v>27</v>
      </c>
      <c r="K17" s="10" t="s">
        <v>155</v>
      </c>
      <c r="L17" s="10" t="s">
        <v>62</v>
      </c>
      <c r="M17" s="12" t="s">
        <v>64</v>
      </c>
      <c r="N17" s="2"/>
      <c r="O17" s="11" t="s">
        <v>60</v>
      </c>
      <c r="P17" s="6">
        <v>192</v>
      </c>
      <c r="Q17" s="6">
        <f>256-32</f>
        <v>224</v>
      </c>
      <c r="R17" s="6"/>
      <c r="S17" s="6">
        <f t="shared" si="0"/>
        <v>222</v>
      </c>
      <c r="T17" s="6">
        <f>193+30</f>
        <v>223</v>
      </c>
      <c r="U17" s="2"/>
    </row>
    <row r="18" spans="1:21" x14ac:dyDescent="0.3">
      <c r="A18" s="9" t="s">
        <v>63</v>
      </c>
      <c r="B18" s="10">
        <v>12</v>
      </c>
      <c r="C18" s="10">
        <v>14</v>
      </c>
      <c r="D18" s="10" t="s">
        <v>41</v>
      </c>
      <c r="E18" s="10">
        <v>14</v>
      </c>
      <c r="F18" s="10">
        <f>32-4</f>
        <v>28</v>
      </c>
      <c r="G18" s="2"/>
      <c r="H18" s="9" t="s">
        <v>63</v>
      </c>
      <c r="I18" s="10" t="s">
        <v>164</v>
      </c>
      <c r="J18" s="10" t="s">
        <v>44</v>
      </c>
      <c r="K18" s="10" t="s">
        <v>156</v>
      </c>
      <c r="L18" s="10" t="s">
        <v>65</v>
      </c>
      <c r="M18" s="10" t="s">
        <v>66</v>
      </c>
      <c r="N18" s="2"/>
      <c r="O18" s="11" t="s">
        <v>63</v>
      </c>
      <c r="P18" s="6">
        <v>224</v>
      </c>
      <c r="Q18" s="6">
        <f>256-16</f>
        <v>240</v>
      </c>
      <c r="R18" s="6"/>
      <c r="S18" s="6">
        <f t="shared" si="0"/>
        <v>238</v>
      </c>
      <c r="T18" s="6">
        <f>225+14</f>
        <v>239</v>
      </c>
      <c r="U18" s="2"/>
    </row>
    <row r="19" spans="1:21" x14ac:dyDescent="0.3">
      <c r="A19" s="9" t="s">
        <v>40</v>
      </c>
      <c r="B19" s="10">
        <v>9</v>
      </c>
      <c r="C19" s="10">
        <v>11</v>
      </c>
      <c r="D19" s="10" t="s">
        <v>41</v>
      </c>
      <c r="E19" s="10">
        <v>14</v>
      </c>
      <c r="F19" s="10">
        <f>32-4</f>
        <v>28</v>
      </c>
      <c r="G19" s="2"/>
      <c r="H19" s="9" t="s">
        <v>40</v>
      </c>
      <c r="I19" s="10" t="s">
        <v>165</v>
      </c>
      <c r="J19" s="10" t="s">
        <v>44</v>
      </c>
      <c r="K19" s="10" t="s">
        <v>157</v>
      </c>
      <c r="L19" s="10" t="s">
        <v>158</v>
      </c>
      <c r="M19" s="10" t="s">
        <v>159</v>
      </c>
      <c r="N19" s="2"/>
      <c r="O19" s="11" t="s">
        <v>40</v>
      </c>
      <c r="P19" s="6">
        <v>240</v>
      </c>
      <c r="Q19" s="6">
        <f>256-16</f>
        <v>240</v>
      </c>
      <c r="R19" s="6"/>
      <c r="S19" s="6">
        <f t="shared" si="0"/>
        <v>254</v>
      </c>
      <c r="T19" s="6">
        <f>241+14</f>
        <v>255</v>
      </c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13"/>
      <c r="B21" s="13"/>
      <c r="C21" s="19" t="s">
        <v>0</v>
      </c>
      <c r="D21" s="13"/>
      <c r="E21" s="13"/>
      <c r="F21" s="13"/>
      <c r="G21" s="13"/>
      <c r="H21" s="13"/>
      <c r="I21" s="13"/>
      <c r="J21" s="19" t="s">
        <v>67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x14ac:dyDescent="0.3">
      <c r="A22" s="14" t="s">
        <v>68</v>
      </c>
      <c r="B22" s="14" t="s">
        <v>69</v>
      </c>
      <c r="C22" s="14" t="s">
        <v>70</v>
      </c>
      <c r="D22" s="14" t="s">
        <v>71</v>
      </c>
      <c r="E22" s="14" t="s">
        <v>72</v>
      </c>
      <c r="F22" s="13"/>
      <c r="G22" s="13"/>
      <c r="H22" s="14" t="s">
        <v>68</v>
      </c>
      <c r="I22" s="14" t="s">
        <v>69</v>
      </c>
      <c r="J22" s="14" t="s">
        <v>70</v>
      </c>
      <c r="K22" s="14" t="s">
        <v>71</v>
      </c>
      <c r="L22" s="14" t="s">
        <v>72</v>
      </c>
      <c r="M22" s="13"/>
      <c r="N22" s="13"/>
      <c r="O22" s="13"/>
      <c r="P22" s="13"/>
      <c r="Q22" s="13"/>
      <c r="R22" s="13"/>
      <c r="S22" s="13"/>
      <c r="T22" s="13"/>
      <c r="U22" s="13"/>
    </row>
    <row r="23" spans="1:21" ht="24" customHeight="1" x14ac:dyDescent="0.3">
      <c r="A23" s="15" t="s">
        <v>73</v>
      </c>
      <c r="B23" s="16" t="s">
        <v>74</v>
      </c>
      <c r="C23" s="16" t="s">
        <v>75</v>
      </c>
      <c r="D23" s="15" t="s">
        <v>76</v>
      </c>
      <c r="E23" s="15" t="s">
        <v>77</v>
      </c>
      <c r="F23" s="13"/>
      <c r="G23" s="13"/>
      <c r="H23" s="15" t="s">
        <v>78</v>
      </c>
      <c r="I23" s="16" t="s">
        <v>74</v>
      </c>
      <c r="J23" s="15" t="s">
        <v>79</v>
      </c>
      <c r="K23" s="15" t="s">
        <v>76</v>
      </c>
      <c r="L23" s="15" t="s">
        <v>77</v>
      </c>
      <c r="M23" s="13"/>
      <c r="N23" s="13"/>
      <c r="O23" s="13"/>
      <c r="P23" s="13"/>
      <c r="Q23" s="13"/>
      <c r="R23" s="13"/>
      <c r="S23" s="13"/>
      <c r="T23" s="13"/>
      <c r="U23" s="13"/>
    </row>
    <row r="24" spans="1:21" ht="24.75" customHeight="1" x14ac:dyDescent="0.3">
      <c r="A24" s="17" t="s">
        <v>73</v>
      </c>
      <c r="B24" s="15" t="s">
        <v>80</v>
      </c>
      <c r="C24" s="15"/>
      <c r="D24" s="15" t="s">
        <v>76</v>
      </c>
      <c r="E24" s="15" t="s">
        <v>77</v>
      </c>
      <c r="F24" s="13"/>
      <c r="G24" s="13"/>
      <c r="H24" s="17" t="s">
        <v>81</v>
      </c>
      <c r="I24" s="15" t="s">
        <v>82</v>
      </c>
      <c r="J24" s="15" t="s">
        <v>83</v>
      </c>
      <c r="K24" s="15" t="s">
        <v>76</v>
      </c>
      <c r="L24" s="15" t="s">
        <v>77</v>
      </c>
      <c r="M24" s="13"/>
      <c r="N24" s="13"/>
      <c r="O24" s="13"/>
      <c r="P24" s="13"/>
      <c r="Q24" s="13"/>
      <c r="R24" s="13"/>
      <c r="S24" s="13"/>
      <c r="T24" s="13"/>
      <c r="U24" s="13"/>
    </row>
    <row r="25" spans="1:21" ht="23.25" customHeight="1" x14ac:dyDescent="0.3">
      <c r="A25" s="17" t="s">
        <v>73</v>
      </c>
      <c r="B25" s="17" t="s">
        <v>84</v>
      </c>
      <c r="C25" s="15"/>
      <c r="D25" s="15" t="s">
        <v>76</v>
      </c>
      <c r="E25" s="15" t="s">
        <v>77</v>
      </c>
      <c r="F25" s="13"/>
      <c r="G25" s="13"/>
      <c r="H25" s="17" t="s">
        <v>81</v>
      </c>
      <c r="I25" s="15" t="s">
        <v>85</v>
      </c>
      <c r="J25" s="15" t="s">
        <v>86</v>
      </c>
      <c r="K25" s="15" t="s">
        <v>87</v>
      </c>
      <c r="L25" s="15" t="s">
        <v>77</v>
      </c>
      <c r="M25" s="13"/>
      <c r="N25" s="13"/>
      <c r="O25" s="13"/>
      <c r="P25" s="13"/>
      <c r="Q25" s="13"/>
      <c r="R25" s="13"/>
      <c r="S25" s="13"/>
      <c r="T25" s="13"/>
      <c r="U25" s="13"/>
    </row>
    <row r="26" spans="1:21" ht="23.25" customHeight="1" x14ac:dyDescent="0.3">
      <c r="A26" s="15" t="s">
        <v>88</v>
      </c>
      <c r="B26" s="15" t="s">
        <v>85</v>
      </c>
      <c r="C26" s="15" t="s">
        <v>89</v>
      </c>
      <c r="D26" s="15" t="s">
        <v>87</v>
      </c>
      <c r="E26" s="15" t="s">
        <v>77</v>
      </c>
      <c r="F26" s="13"/>
      <c r="G26" s="13"/>
      <c r="H26" s="17" t="s">
        <v>81</v>
      </c>
      <c r="I26" s="15" t="s">
        <v>90</v>
      </c>
      <c r="J26" s="15" t="s">
        <v>91</v>
      </c>
      <c r="K26" s="15" t="s">
        <v>44</v>
      </c>
      <c r="L26" s="15" t="s">
        <v>77</v>
      </c>
      <c r="M26" s="13"/>
      <c r="N26" s="13"/>
      <c r="O26" s="13"/>
      <c r="P26" s="13"/>
      <c r="Q26" s="13"/>
      <c r="R26" s="13"/>
      <c r="S26" s="13"/>
      <c r="T26" s="13"/>
      <c r="U26" s="13"/>
    </row>
    <row r="27" spans="1:21" ht="26.25" customHeight="1" x14ac:dyDescent="0.3">
      <c r="A27" s="15" t="s">
        <v>88</v>
      </c>
      <c r="B27" s="15" t="s">
        <v>90</v>
      </c>
      <c r="C27" s="15" t="s">
        <v>45</v>
      </c>
      <c r="D27" s="15" t="s">
        <v>44</v>
      </c>
      <c r="E27" s="15" t="s">
        <v>77</v>
      </c>
      <c r="F27" s="13"/>
      <c r="G27" s="13"/>
      <c r="H27" s="17" t="s">
        <v>81</v>
      </c>
      <c r="I27" s="15" t="s">
        <v>92</v>
      </c>
      <c r="J27" s="15" t="s">
        <v>93</v>
      </c>
      <c r="K27" s="15" t="s">
        <v>19</v>
      </c>
      <c r="L27" s="15" t="s">
        <v>77</v>
      </c>
      <c r="M27" s="13"/>
      <c r="N27" s="13"/>
      <c r="O27" s="13"/>
      <c r="P27" s="13"/>
      <c r="Q27" s="13"/>
      <c r="R27" s="13"/>
      <c r="S27" s="13"/>
      <c r="T27" s="13"/>
      <c r="U27" s="13"/>
    </row>
    <row r="28" spans="1:21" ht="24.75" customHeight="1" x14ac:dyDescent="0.3">
      <c r="A28" s="15" t="s">
        <v>88</v>
      </c>
      <c r="B28" s="15" t="s">
        <v>92</v>
      </c>
      <c r="C28" s="15" t="s">
        <v>28</v>
      </c>
      <c r="D28" s="15" t="s">
        <v>27</v>
      </c>
      <c r="E28" s="15" t="s">
        <v>77</v>
      </c>
      <c r="F28" s="13"/>
      <c r="G28" s="13"/>
      <c r="H28" s="17" t="s">
        <v>81</v>
      </c>
      <c r="I28" s="15" t="s">
        <v>94</v>
      </c>
      <c r="J28" s="15" t="s">
        <v>95</v>
      </c>
      <c r="K28" s="15" t="s">
        <v>27</v>
      </c>
      <c r="L28" s="15" t="s">
        <v>77</v>
      </c>
      <c r="M28" s="13"/>
      <c r="N28" s="13"/>
      <c r="O28" s="13"/>
      <c r="P28" s="13"/>
      <c r="Q28" s="13"/>
      <c r="R28" s="13"/>
      <c r="S28" s="13"/>
      <c r="T28" s="13"/>
      <c r="U28" s="13"/>
    </row>
    <row r="29" spans="1:21" ht="27.75" customHeight="1" x14ac:dyDescent="0.3">
      <c r="A29" s="15" t="s">
        <v>88</v>
      </c>
      <c r="B29" s="15" t="s">
        <v>96</v>
      </c>
      <c r="C29" s="15" t="s">
        <v>20</v>
      </c>
      <c r="D29" s="15" t="s">
        <v>19</v>
      </c>
      <c r="E29" s="15" t="s">
        <v>77</v>
      </c>
      <c r="F29" s="13"/>
      <c r="G29" s="13"/>
      <c r="H29" s="17" t="s">
        <v>81</v>
      </c>
      <c r="I29" s="15" t="s">
        <v>97</v>
      </c>
      <c r="J29" s="15" t="s">
        <v>98</v>
      </c>
      <c r="K29" s="15" t="s">
        <v>27</v>
      </c>
      <c r="L29" s="15" t="s">
        <v>77</v>
      </c>
      <c r="M29" s="13"/>
      <c r="N29" s="13"/>
      <c r="O29" s="13"/>
      <c r="P29" s="13"/>
      <c r="Q29" s="13"/>
      <c r="R29" s="13"/>
      <c r="S29" s="13"/>
      <c r="T29" s="13"/>
      <c r="U29" s="13"/>
    </row>
    <row r="30" spans="1:21" ht="27.75" customHeight="1" x14ac:dyDescent="0.3">
      <c r="A30" s="15" t="s">
        <v>88</v>
      </c>
      <c r="B30" s="15" t="s">
        <v>97</v>
      </c>
      <c r="C30" s="15" t="s">
        <v>37</v>
      </c>
      <c r="D30" s="15" t="s">
        <v>27</v>
      </c>
      <c r="E30" s="15" t="s">
        <v>77</v>
      </c>
      <c r="F30" s="13"/>
      <c r="G30" s="13"/>
      <c r="H30" s="17" t="s">
        <v>81</v>
      </c>
      <c r="I30" s="15" t="s">
        <v>99</v>
      </c>
      <c r="J30" s="15" t="s">
        <v>100</v>
      </c>
      <c r="K30" s="15" t="s">
        <v>19</v>
      </c>
      <c r="L30" s="15" t="s">
        <v>77</v>
      </c>
      <c r="M30" s="13"/>
      <c r="N30" s="13"/>
      <c r="O30" s="13"/>
      <c r="P30" s="13"/>
      <c r="Q30" s="13"/>
      <c r="R30" s="13"/>
      <c r="S30" s="13"/>
      <c r="T30" s="13"/>
      <c r="U30" s="13"/>
    </row>
    <row r="31" spans="1:21" ht="26.25" customHeight="1" x14ac:dyDescent="0.3">
      <c r="A31" s="15" t="s">
        <v>88</v>
      </c>
      <c r="B31" s="15" t="s">
        <v>99</v>
      </c>
      <c r="C31" s="15" t="s">
        <v>101</v>
      </c>
      <c r="D31" s="15" t="s">
        <v>44</v>
      </c>
      <c r="E31" s="15" t="s">
        <v>77</v>
      </c>
      <c r="F31" s="13"/>
      <c r="G31" s="13"/>
      <c r="H31" s="17" t="s">
        <v>81</v>
      </c>
      <c r="I31" s="15" t="s">
        <v>102</v>
      </c>
      <c r="J31" s="15" t="s">
        <v>103</v>
      </c>
      <c r="K31" s="15" t="s">
        <v>44</v>
      </c>
      <c r="L31" s="15" t="s">
        <v>77</v>
      </c>
      <c r="M31" s="13"/>
      <c r="N31" s="13"/>
      <c r="O31" s="13"/>
      <c r="P31" s="13"/>
      <c r="Q31" s="13"/>
      <c r="R31" s="13"/>
      <c r="S31" s="13"/>
      <c r="T31" s="13"/>
      <c r="U31" s="13"/>
    </row>
    <row r="32" spans="1:21" ht="24" customHeight="1" x14ac:dyDescent="0.3">
      <c r="A32" s="15" t="s">
        <v>88</v>
      </c>
      <c r="B32" s="15" t="s">
        <v>104</v>
      </c>
      <c r="C32" s="15" t="s">
        <v>33</v>
      </c>
      <c r="D32" s="15" t="s">
        <v>27</v>
      </c>
      <c r="E32" s="15" t="s">
        <v>77</v>
      </c>
      <c r="F32" s="13"/>
      <c r="G32" s="13"/>
      <c r="H32" s="17" t="s">
        <v>105</v>
      </c>
      <c r="I32" s="15" t="s">
        <v>106</v>
      </c>
      <c r="J32" s="15" t="s">
        <v>107</v>
      </c>
      <c r="K32" s="15" t="s">
        <v>27</v>
      </c>
      <c r="L32" s="15" t="s">
        <v>98</v>
      </c>
      <c r="M32" s="13"/>
      <c r="N32" s="13"/>
      <c r="O32" s="13"/>
      <c r="P32" s="13"/>
      <c r="Q32" s="13"/>
      <c r="R32" s="13"/>
      <c r="S32" s="13"/>
      <c r="T32" s="13"/>
      <c r="U32" s="13"/>
    </row>
    <row r="33" spans="1:21" ht="25.5" customHeight="1" x14ac:dyDescent="0.3">
      <c r="A33" s="15" t="s">
        <v>88</v>
      </c>
      <c r="B33" s="15" t="s">
        <v>82</v>
      </c>
      <c r="C33" s="15" t="s">
        <v>108</v>
      </c>
      <c r="D33" s="15" t="s">
        <v>76</v>
      </c>
      <c r="E33" s="15" t="s">
        <v>77</v>
      </c>
      <c r="F33" s="13"/>
      <c r="G33" s="13"/>
      <c r="H33" s="17" t="s">
        <v>109</v>
      </c>
      <c r="I33" s="15" t="s">
        <v>106</v>
      </c>
      <c r="J33" s="15" t="s">
        <v>110</v>
      </c>
      <c r="K33" s="15" t="s">
        <v>27</v>
      </c>
      <c r="L33" s="15" t="s">
        <v>98</v>
      </c>
      <c r="M33" s="13"/>
      <c r="N33" s="13"/>
      <c r="O33" s="13"/>
      <c r="P33" s="13"/>
      <c r="Q33" s="13"/>
      <c r="R33" s="13"/>
      <c r="S33" s="13"/>
      <c r="T33" s="13"/>
      <c r="U33" s="13"/>
    </row>
    <row r="34" spans="1:21" ht="24" customHeight="1" x14ac:dyDescent="0.3">
      <c r="A34" s="15" t="s">
        <v>111</v>
      </c>
      <c r="B34" s="15" t="s">
        <v>106</v>
      </c>
      <c r="C34" s="15" t="s">
        <v>112</v>
      </c>
      <c r="D34" s="15" t="s">
        <v>27</v>
      </c>
      <c r="E34" s="15" t="s">
        <v>37</v>
      </c>
      <c r="F34" s="13"/>
      <c r="G34" s="13"/>
      <c r="H34" s="17" t="s">
        <v>113</v>
      </c>
      <c r="I34" s="15" t="s">
        <v>106</v>
      </c>
      <c r="J34" s="15" t="s">
        <v>114</v>
      </c>
      <c r="K34" s="15" t="s">
        <v>27</v>
      </c>
      <c r="L34" s="15" t="s">
        <v>98</v>
      </c>
      <c r="M34" s="13"/>
      <c r="N34" s="13"/>
      <c r="O34" s="13"/>
      <c r="P34" s="13"/>
      <c r="Q34" s="13"/>
      <c r="R34" s="13"/>
      <c r="S34" s="13"/>
      <c r="T34" s="13"/>
      <c r="U34" s="13"/>
    </row>
    <row r="35" spans="1:21" ht="20.25" customHeight="1" x14ac:dyDescent="0.3">
      <c r="A35" s="17" t="s">
        <v>115</v>
      </c>
      <c r="B35" s="15" t="s">
        <v>106</v>
      </c>
      <c r="C35" s="15" t="s">
        <v>116</v>
      </c>
      <c r="D35" s="15" t="s">
        <v>27</v>
      </c>
      <c r="E35" s="15" t="s">
        <v>37</v>
      </c>
      <c r="F35" s="13"/>
      <c r="G35" s="13"/>
      <c r="H35" s="17" t="s">
        <v>117</v>
      </c>
      <c r="I35" s="15" t="s">
        <v>106</v>
      </c>
      <c r="J35" s="15" t="s">
        <v>118</v>
      </c>
      <c r="K35" s="15" t="s">
        <v>27</v>
      </c>
      <c r="L35" s="15" t="s">
        <v>98</v>
      </c>
      <c r="M35" s="13"/>
      <c r="N35" s="13"/>
      <c r="O35" s="13"/>
      <c r="P35" s="13"/>
      <c r="Q35" s="13"/>
      <c r="R35" s="13"/>
      <c r="S35" s="13"/>
      <c r="T35" s="13"/>
      <c r="U35" s="13"/>
    </row>
    <row r="36" spans="1:21" ht="21.75" customHeight="1" x14ac:dyDescent="0.3">
      <c r="A36" s="17" t="s">
        <v>119</v>
      </c>
      <c r="B36" s="15" t="s">
        <v>106</v>
      </c>
      <c r="C36" s="15" t="s">
        <v>120</v>
      </c>
      <c r="D36" s="15" t="s">
        <v>27</v>
      </c>
      <c r="E36" s="15" t="s">
        <v>37</v>
      </c>
      <c r="F36" s="13"/>
      <c r="G36" s="13"/>
      <c r="H36" s="17" t="s">
        <v>121</v>
      </c>
      <c r="I36" s="15" t="s">
        <v>106</v>
      </c>
      <c r="J36" s="15" t="s">
        <v>122</v>
      </c>
      <c r="K36" s="15" t="s">
        <v>27</v>
      </c>
      <c r="L36" s="15" t="s">
        <v>98</v>
      </c>
      <c r="M36" s="13"/>
      <c r="N36" s="13"/>
      <c r="O36" s="13"/>
      <c r="P36" s="13"/>
      <c r="Q36" s="13"/>
      <c r="R36" s="13"/>
      <c r="S36" s="13"/>
      <c r="T36" s="13"/>
      <c r="U36" s="13"/>
    </row>
    <row r="37" spans="1:21" ht="21.75" customHeight="1" x14ac:dyDescent="0.3">
      <c r="A37" s="17" t="s">
        <v>123</v>
      </c>
      <c r="B37" s="15" t="s">
        <v>106</v>
      </c>
      <c r="C37" s="15" t="s">
        <v>124</v>
      </c>
      <c r="D37" s="15" t="s">
        <v>27</v>
      </c>
      <c r="E37" s="15" t="s">
        <v>37</v>
      </c>
      <c r="F37" s="13"/>
      <c r="G37" s="13"/>
      <c r="H37" s="17" t="s">
        <v>125</v>
      </c>
      <c r="I37" s="15" t="s">
        <v>106</v>
      </c>
      <c r="J37" s="15" t="s">
        <v>126</v>
      </c>
      <c r="K37" s="15" t="s">
        <v>27</v>
      </c>
      <c r="L37" s="15" t="s">
        <v>98</v>
      </c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20.25" customHeight="1" x14ac:dyDescent="0.3">
      <c r="A38" s="17" t="s">
        <v>127</v>
      </c>
      <c r="B38" s="15" t="s">
        <v>106</v>
      </c>
      <c r="C38" s="15" t="s">
        <v>128</v>
      </c>
      <c r="D38" s="15" t="s">
        <v>44</v>
      </c>
      <c r="E38" s="15" t="s">
        <v>45</v>
      </c>
      <c r="F38" s="13"/>
      <c r="G38" s="13"/>
      <c r="H38" s="17" t="s">
        <v>129</v>
      </c>
      <c r="I38" s="15" t="s">
        <v>106</v>
      </c>
      <c r="J38" s="15" t="s">
        <v>130</v>
      </c>
      <c r="K38" s="15" t="s">
        <v>27</v>
      </c>
      <c r="L38" s="15" t="s">
        <v>98</v>
      </c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20.25" customHeight="1" x14ac:dyDescent="0.3">
      <c r="A39" s="17" t="s">
        <v>131</v>
      </c>
      <c r="B39" s="15" t="s">
        <v>106</v>
      </c>
      <c r="C39" s="15" t="s">
        <v>132</v>
      </c>
      <c r="D39" s="15" t="s">
        <v>44</v>
      </c>
      <c r="E39" s="15" t="s">
        <v>45</v>
      </c>
      <c r="F39" s="13"/>
      <c r="G39" s="13"/>
      <c r="H39" s="17" t="s">
        <v>133</v>
      </c>
      <c r="I39" s="15" t="s">
        <v>106</v>
      </c>
      <c r="J39" s="15" t="s">
        <v>134</v>
      </c>
      <c r="K39" s="15" t="s">
        <v>27</v>
      </c>
      <c r="L39" s="15" t="s">
        <v>98</v>
      </c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22.5" customHeight="1" x14ac:dyDescent="0.3">
      <c r="A40" s="17" t="s">
        <v>135</v>
      </c>
      <c r="B40" s="15" t="s">
        <v>106</v>
      </c>
      <c r="C40" s="15" t="s">
        <v>136</v>
      </c>
      <c r="D40" s="15" t="s">
        <v>19</v>
      </c>
      <c r="E40" s="15" t="s">
        <v>20</v>
      </c>
      <c r="F40" s="13"/>
      <c r="G40" s="13"/>
      <c r="H40" s="17" t="s">
        <v>131</v>
      </c>
      <c r="I40" s="15" t="s">
        <v>106</v>
      </c>
      <c r="J40" s="15" t="s">
        <v>137</v>
      </c>
      <c r="K40" s="15" t="s">
        <v>44</v>
      </c>
      <c r="L40" s="15" t="s">
        <v>91</v>
      </c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21" customHeight="1" x14ac:dyDescent="0.3">
      <c r="A41" s="15" t="s">
        <v>138</v>
      </c>
      <c r="B41" s="15" t="s">
        <v>106</v>
      </c>
      <c r="C41" s="15" t="s">
        <v>139</v>
      </c>
      <c r="D41" s="15" t="s">
        <v>19</v>
      </c>
      <c r="E41" s="15" t="s">
        <v>20</v>
      </c>
      <c r="F41" s="13"/>
      <c r="G41" s="13"/>
      <c r="H41" s="17" t="s">
        <v>135</v>
      </c>
      <c r="I41" s="15" t="s">
        <v>106</v>
      </c>
      <c r="J41" s="15" t="s">
        <v>140</v>
      </c>
      <c r="K41" s="15" t="s">
        <v>19</v>
      </c>
      <c r="L41" s="15" t="s">
        <v>93</v>
      </c>
      <c r="M41" s="13"/>
      <c r="N41" s="13"/>
      <c r="O41" s="13"/>
      <c r="P41" s="13"/>
      <c r="Q41" s="13"/>
      <c r="R41" s="13"/>
      <c r="S41" s="13"/>
      <c r="T41" s="13"/>
      <c r="U41" s="13"/>
    </row>
    <row r="42" spans="1:21" x14ac:dyDescent="0.3">
      <c r="H42" s="15" t="s">
        <v>138</v>
      </c>
      <c r="I42" s="15" t="s">
        <v>106</v>
      </c>
      <c r="J42" s="15" t="s">
        <v>141</v>
      </c>
      <c r="K42" s="15" t="s">
        <v>19</v>
      </c>
      <c r="L42" s="15" t="s">
        <v>93</v>
      </c>
    </row>
    <row r="43" spans="1:21" x14ac:dyDescent="0.3">
      <c r="B43" s="22" t="s">
        <v>142</v>
      </c>
      <c r="C43" s="23" t="s">
        <v>143</v>
      </c>
    </row>
    <row r="44" spans="1:21" x14ac:dyDescent="0.3">
      <c r="B44" s="21" t="s">
        <v>144</v>
      </c>
      <c r="C44" s="21" t="s">
        <v>145</v>
      </c>
      <c r="I44" s="22" t="s">
        <v>146</v>
      </c>
      <c r="J44" s="23" t="s">
        <v>147</v>
      </c>
    </row>
    <row r="45" spans="1:21" x14ac:dyDescent="0.3">
      <c r="B45" s="6" t="s">
        <v>148</v>
      </c>
      <c r="C45" s="20" t="s">
        <v>149</v>
      </c>
      <c r="I45" s="21" t="s">
        <v>150</v>
      </c>
      <c r="J45" s="21" t="s">
        <v>151</v>
      </c>
    </row>
    <row r="46" spans="1:21" x14ac:dyDescent="0.3">
      <c r="I46" s="6" t="s">
        <v>148</v>
      </c>
      <c r="J46" s="20" t="s">
        <v>152</v>
      </c>
    </row>
    <row r="48" spans="1:21" ht="36.6" x14ac:dyDescent="0.7">
      <c r="F48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FASE 1 REDES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Silva</cp:lastModifiedBy>
  <cp:revision/>
  <dcterms:created xsi:type="dcterms:W3CDTF">2026-03-31T11:42:53Z</dcterms:created>
  <dcterms:modified xsi:type="dcterms:W3CDTF">2026-04-10T12:42:05Z</dcterms:modified>
  <cp:category/>
  <cp:contentStatus/>
</cp:coreProperties>
</file>